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Assumptions" sheetId="2" state="visible" r:id="rId4"/>
    <sheet name="Pn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<sst xmlns="http://schemas.openxmlformats.org/spreadsheetml/2006/main" count="117" uniqueCount="96">
  <si>
    <t xml:space="preserve">BEYOND TOMORROW FINANCIAL MODEL</t>
  </si>
  <si>
    <t xml:space="preserve">Media-led, aligned to the September 2026 deck. The SPV arm is shown at management fees only; carry is long-term upside, not in these numbers. Confidential.</t>
  </si>
  <si>
    <t xml:space="preserve">USD</t>
  </si>
  <si>
    <t xml:space="preserve">Total revenue</t>
  </si>
  <si>
    <t xml:space="preserve">Media</t>
  </si>
  <si>
    <t xml:space="preserve">EBITDA</t>
  </si>
  <si>
    <t xml:space="preserve">Net profit</t>
  </si>
  <si>
    <t xml:space="preserve">Closing cash</t>
  </si>
  <si>
    <t xml:space="preserve">Note</t>
  </si>
  <si>
    <t xml:space="preserve">Checks</t>
  </si>
  <si>
    <t xml:space="preserve">Check</t>
  </si>
  <si>
    <t xml:space="preserve">Total revenue equals media + summits + products + SPV</t>
  </si>
  <si>
    <t xml:space="preserve">Closing cash equals opening + raise + net profit</t>
  </si>
  <si>
    <t xml:space="preserve">Use of funds equals the raise</t>
  </si>
  <si>
    <t xml:space="preserve">Use of funds shares sum to 100%</t>
  </si>
  <si>
    <t xml:space="preserve">Committed does not exceed the raise</t>
  </si>
  <si>
    <t xml:space="preserve">Profitability reached in 2028 (2027 EBITDA at or below 0, 2028 above 0)</t>
  </si>
  <si>
    <t xml:space="preserve">Any FAIL above means an input no longer ties; check the yellow cells on Assumptions.</t>
  </si>
  <si>
    <t xml:space="preserve">BEYOND TOMORROW ASSUMPTIONS</t>
  </si>
  <si>
    <t xml:space="preserve">Edit the yellow cells. Media-led, aligned to the September 2026 deck. The SPV arm earns a management fee on AUM (rate in B7); carry is not modelled and sits as long-term upside.</t>
  </si>
  <si>
    <t xml:space="preserve">Raise (USD)</t>
  </si>
  <si>
    <t xml:space="preserve">From the deck (slide 15)</t>
  </si>
  <si>
    <t xml:space="preserve">Pre-money (USD)</t>
  </si>
  <si>
    <t xml:space="preserve">Committed (USD)</t>
  </si>
  <si>
    <t xml:space="preserve">From the deck (slide 15), September 2026. DocSend figures stand, per Julian, 17 Sep 2026</t>
  </si>
  <si>
    <t xml:space="preserve">Tax rate</t>
  </si>
  <si>
    <t xml:space="preserve">Assumed rate on taxable profit from 2028; confirm with the accountants</t>
  </si>
  <si>
    <t xml:space="preserve">SPV mgmt fee rate</t>
  </si>
  <si>
    <t xml:space="preserve">Founder input</t>
  </si>
  <si>
    <t xml:space="preserve">REVENUE DRIVERS (USD)</t>
  </si>
  <si>
    <t xml:space="preserve">Line</t>
  </si>
  <si>
    <t xml:space="preserve">Basis / confidence</t>
  </si>
  <si>
    <t xml:space="preserve">Media: flagship sponsor 1</t>
  </si>
  <si>
    <t xml:space="preserve">Sponsor ramp built with the founder; aggressive by design, to sign off</t>
  </si>
  <si>
    <t xml:space="preserve">Media: flagship sponsor 2</t>
  </si>
  <si>
    <t xml:space="preserve">Media: mid-tier sponsors</t>
  </si>
  <si>
    <t xml:space="preserve">Media: newsletter &amp; web</t>
  </si>
  <si>
    <t xml:space="preserve">Newsletter and web placements on the current audience; aggressive by design, to sign off</t>
  </si>
  <si>
    <t xml:space="preserve">Media: AdSense / YouTube</t>
  </si>
  <si>
    <t xml:space="preserve">AdSense and YouTube Partner revenue on watch-time growth; aggressive by design, to sign off. 2027 includes the $16k SPV fee moved from 2027 into media, per Julian, 17 Sep 2026</t>
  </si>
  <si>
    <t xml:space="preserve">Summits: satellites</t>
  </si>
  <si>
    <t xml:space="preserve">Conference-provider JV proposal; 2026 is break-even by design; grounded</t>
  </si>
  <si>
    <t xml:space="preserve">Summits: flagship summit</t>
  </si>
  <si>
    <t xml:space="preserve">Conference-provider JV proposal; flagship summit in the US from September 2027; grounded</t>
  </si>
  <si>
    <t xml:space="preserve">Products (from 2028)</t>
  </si>
  <si>
    <t xml:space="preserve">Co-branded longevity products from 2028, about 50% COGS; aggressive in 2029</t>
  </si>
  <si>
    <t xml:space="preserve">Investment: SPV AUM (cumulative)</t>
  </si>
  <si>
    <t xml:space="preserve">Cumulative capital deployed through SPVs; first SPVs deployed in 2028, none in 2027, per Julian, 17 Sep 2026. Pace to sign off</t>
  </si>
  <si>
    <t xml:space="preserve">Investment: carry (long-term, not modelled, keep at 0)</t>
  </si>
  <si>
    <t xml:space="preserve">Excluded by design. Carry only crystallises on exits years out</t>
  </si>
  <si>
    <t xml:space="preserve">COST DRIVERS (USD)</t>
  </si>
  <si>
    <t xml:space="preserve">Team &amp; salaries</t>
  </si>
  <si>
    <t xml:space="preserve">Bottom-up construction, scales with revenue; to sign off. 2027 raised by $300k (team funded by the raise, 40% of use of funds) so profitability lands in 2028, per Julian, 17 Sep 2026</t>
  </si>
  <si>
    <t xml:space="preserve">Marketing &amp; distribution</t>
  </si>
  <si>
    <t xml:space="preserve">Bottom-up construction, scales with revenue; to sign off</t>
  </si>
  <si>
    <t xml:space="preserve">Summit direct costs</t>
  </si>
  <si>
    <t xml:space="preserve">Beyond Tomorrow's share of event costs, from the JV proposal</t>
  </si>
  <si>
    <t xml:space="preserve">Content &amp; production</t>
  </si>
  <si>
    <t xml:space="preserve">Bottom-up construction, scales with revenue; to sign off. 2027 raised by $200k (content funded by the raise, 35% of use of funds) so profitability lands in 2028, per Julian, 17 Sep 2026</t>
  </si>
  <si>
    <t xml:space="preserve">Product COGS &amp; fulfilment</t>
  </si>
  <si>
    <t xml:space="preserve">About 50% of product revenue</t>
  </si>
  <si>
    <t xml:space="preserve">Investment arm (deal team)</t>
  </si>
  <si>
    <t xml:space="preserve">Deal team from 2027; to sign off</t>
  </si>
  <si>
    <t xml:space="preserve">Technology &amp; product</t>
  </si>
  <si>
    <t xml:space="preserve">Legal, accounting &amp; ops</t>
  </si>
  <si>
    <t xml:space="preserve">USE OF FUNDS (USD, from the deck, slide 15)</t>
  </si>
  <si>
    <t xml:space="preserve">Amount</t>
  </si>
  <si>
    <t xml:space="preserve">% of raise</t>
  </si>
  <si>
    <t xml:space="preserve">What it funds</t>
  </si>
  <si>
    <t xml:space="preserve">Team &amp; operations</t>
  </si>
  <si>
    <t xml:space="preserve">Head of commercial, senior producer, content, ops and finance</t>
  </si>
  <si>
    <t xml:space="preserve">Content &amp; distribution</t>
  </si>
  <si>
    <t xml:space="preserve">Studio, video team, paid distribution</t>
  </si>
  <si>
    <t xml:space="preserve">Summit execution</t>
  </si>
  <si>
    <t xml:space="preserve">Satellite activations and flagship summit pre-development</t>
  </si>
  <si>
    <t xml:space="preserve">Working capital buffer</t>
  </si>
  <si>
    <t xml:space="preserve">Legal, accounting, contingency</t>
  </si>
  <si>
    <t xml:space="preserve">Total</t>
  </si>
  <si>
    <t xml:space="preserve">Check: total equals the raise</t>
  </si>
  <si>
    <t xml:space="preserve">ROUND STATUS (USD, from the deck, slide 15)</t>
  </si>
  <si>
    <t xml:space="preserve">SEIS remaining for UK investors</t>
  </si>
  <si>
    <t xml:space="preserve">Advance assurance approved; EIS available</t>
  </si>
  <si>
    <t xml:space="preserve">Remaining to raise</t>
  </si>
  <si>
    <t xml:space="preserve">CONSOLIDATED P&amp;L (calculated)</t>
  </si>
  <si>
    <t xml:space="preserve">Summits</t>
  </si>
  <si>
    <t xml:space="preserve">Products</t>
  </si>
  <si>
    <t xml:space="preserve">Platform revenue</t>
  </si>
  <si>
    <t xml:space="preserve">Investment: carry</t>
  </si>
  <si>
    <t xml:space="preserve">Investment / SPV total</t>
  </si>
  <si>
    <t xml:space="preserve">Total operating costs</t>
  </si>
  <si>
    <t xml:space="preserve">EBITDA margin</t>
  </si>
  <si>
    <t xml:space="preserve">Tax</t>
  </si>
  <si>
    <t xml:space="preserve">Net profit / (loss)</t>
  </si>
  <si>
    <t xml:space="preserve">Opening cash</t>
  </si>
  <si>
    <t xml:space="preserve">+ Raise</t>
  </si>
  <si>
    <t xml:space="preserve">+ Net profit / (loss)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</si>
</sst>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A1730"/>
      <name val="Cambria"/>
      <family val="0"/>
      <charset val="1"/>
    </font>
    <font>
      <i val="true"/>
      <sz val="9"/>
      <color rgb="FF7B879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97316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3"/>
      <color rgb="FF0A1730"/>
      <name val="Cambria"/>
      <family val="0"/>
      <charset val="1"/>
    </font>
    <font>
      <b val="true"/>
      <sz val="11"/>
      <color rgb="FF0A173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1730"/>
        <bgColor rgb="FF000000"/>
      </patternFill>
    </fill>
    <fill>
      <patternFill patternType="solid">
        <fgColor rgb="FFFFF3C4"/>
        <bgColor rgb="FFFFFF99"/>
      </patternFill>
    </fill>
    <fill>
      <patternFill patternType="solid">
        <fgColor rgb="FFF2F5FB"/>
        <bgColor rgb="FFFFFFFF"/>
      </patternFill>
    </fill>
    <fill>
      <patternFill patternType="solid">
        <fgColor rgb="FFF97316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B8798"/>
      <rgbColor rgb="FF9999FF"/>
      <rgbColor rgb="FF993366"/>
      <rgbColor rgb="FFFFF3C4"/>
      <rgbColor rgb="FFF2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555555"/>
      <rgbColor rgb="FF969696"/>
      <rgbColor rgb="FF003366"/>
      <rgbColor rgb="FF339966"/>
      <rgbColor rgb="FF0A17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5"/>
    <col collapsed="false" customWidth="true" hidden="false" outlineLevel="0" max="5" min="3" style="1" width="14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  <c r="B5" s="5" t="n">
        <v>2026</v>
      </c>
      <c r="C5" s="5" t="n">
        <v>2027</v>
      </c>
      <c r="D5" s="5" t="n">
        <v>2028</v>
      </c>
      <c r="E5" s="5" t="n">
        <v>2029</v>
      </c>
    </row>
    <row r="6" customFormat="false" ht="15" hidden="false" customHeight="true" outlineLevel="0" collapsed="false">
      <c r="A6" s="6" t="s">
        <v>3</v>
      </c>
      <c r="B6" s="7" t="n">
        <f aca="false">PnL!B11</f>
        <v>430000</v>
      </c>
      <c r="C6" s="7" t="n">
        <f aca="false">PnL!C11</f>
        <v>3400000</v>
      </c>
      <c r="D6" s="7" t="n">
        <f aca="false">PnL!D11</f>
        <v>8000000</v>
      </c>
      <c r="E6" s="7" t="n">
        <f aca="false">PnL!E11</f>
        <v>22600000</v>
      </c>
    </row>
    <row r="7" customFormat="false" ht="15" hidden="false" customHeight="true" outlineLevel="0" collapsed="false">
      <c r="A7" s="6" t="s">
        <v>4</v>
      </c>
      <c r="B7" s="7" t="n">
        <f aca="false">PnL!B4</f>
        <v>300000</v>
      </c>
      <c r="C7" s="7" t="n">
        <f aca="false">PnL!C4</f>
        <v>1800000</v>
      </c>
      <c r="D7" s="7" t="n">
        <f aca="false">PnL!D4</f>
        <v>3904000</v>
      </c>
      <c r="E7" s="7" t="n">
        <f aca="false">PnL!E4</f>
        <v>11580000</v>
      </c>
    </row>
    <row r="8" customFormat="false" ht="15" hidden="false" customHeight="true" outlineLevel="0" collapsed="false">
      <c r="A8" s="6" t="s">
        <v>5</v>
      </c>
      <c r="B8" s="7" t="n">
        <f aca="false">PnL!B21</f>
        <v>-160000</v>
      </c>
      <c r="C8" s="7" t="n">
        <f aca="false">PnL!C21</f>
        <v>-60000</v>
      </c>
      <c r="D8" s="7" t="n">
        <f aca="false">PnL!D21</f>
        <v>1510000</v>
      </c>
      <c r="E8" s="7" t="n">
        <f aca="false">PnL!E21</f>
        <v>9200000</v>
      </c>
    </row>
    <row r="9" customFormat="false" ht="15" hidden="false" customHeight="true" outlineLevel="0" collapsed="false">
      <c r="A9" s="6" t="s">
        <v>6</v>
      </c>
      <c r="B9" s="7" t="n">
        <f aca="false">PnL!B24</f>
        <v>-160000</v>
      </c>
      <c r="C9" s="7" t="n">
        <f aca="false">PnL!C24</f>
        <v>-60000</v>
      </c>
      <c r="D9" s="7" t="n">
        <f aca="false">PnL!D24</f>
        <v>1208000</v>
      </c>
      <c r="E9" s="7" t="n">
        <f aca="false">PnL!E24</f>
        <v>7360000</v>
      </c>
    </row>
    <row r="10" customFormat="false" ht="15" hidden="false" customHeight="true" outlineLevel="0" collapsed="false">
      <c r="A10" s="6" t="s">
        <v>7</v>
      </c>
      <c r="B10" s="7" t="n">
        <f aca="false">PnL!B28</f>
        <v>1340000</v>
      </c>
      <c r="C10" s="7" t="n">
        <f aca="false">PnL!C28</f>
        <v>1280000</v>
      </c>
      <c r="D10" s="7" t="n">
        <f aca="false">PnL!D28</f>
        <v>2488000</v>
      </c>
      <c r="E10" s="7" t="n">
        <f aca="false">PnL!E28</f>
        <v>9848000</v>
      </c>
    </row>
    <row r="12" customFormat="false" ht="15" hidden="false" customHeight="true" outlineLevel="0" collapsed="false">
      <c r="A12" s="8" t="s">
        <v>8</v>
      </c>
    </row>
    <row r="13" customFormat="false" ht="15" hidden="false" customHeight="true" outlineLevel="0" collapsed="false">
      <c r="A13" s="3" t="str">
        <f aca="false">"Media is the primary driver to "&amp;TEXT(E6/1000000,"$0.0")&amp;"M by 2029. The SPV arm earns management fees only; carry is long-term upside, not in these numbers."</f>
        <v>Media is the primary driver to $22.6M by 2029. The SPV arm earns management fees only; carry is long-term upside, not in these numbers.</v>
      </c>
    </row>
    <row r="15" customFormat="false" ht="15" hidden="false" customHeight="true" outlineLevel="0" collapsed="false">
      <c r="A15" s="6" t="s">
        <v>9</v>
      </c>
    </row>
    <row r="16" customFormat="false" ht="15" hidden="false" customHeight="true" outlineLevel="0" collapsed="false">
      <c r="A16" s="9" t="s">
        <v>10</v>
      </c>
      <c r="B16" s="9" t="n">
        <v>2026</v>
      </c>
      <c r="C16" s="9" t="n">
        <v>2027</v>
      </c>
      <c r="D16" s="9" t="n">
        <v>2028</v>
      </c>
      <c r="E16" s="9" t="n">
        <v>2029</v>
      </c>
    </row>
    <row r="17" customFormat="false" ht="15" hidden="false" customHeight="true" outlineLevel="0" collapsed="false">
      <c r="A17" s="1" t="s">
        <v>11</v>
      </c>
      <c r="B17" s="1" t="str">
        <f aca="false">IF(ABS(PnL!B11-(PnL!B4+PnL!B5+PnL!B6+PnL!B10))&lt;1,"PASS","FAIL")</f>
        <v>PASS</v>
      </c>
      <c r="C17" s="1" t="str">
        <f aca="false">IF(ABS(PnL!C11-(PnL!C4+PnL!C5+PnL!C6+PnL!C10))&lt;1,"PASS","FAIL")</f>
        <v>PASS</v>
      </c>
      <c r="D17" s="1" t="str">
        <f aca="false">IF(ABS(PnL!D11-(PnL!D4+PnL!D5+PnL!D6+PnL!D10))&lt;1,"PASS","FAIL")</f>
        <v>PASS</v>
      </c>
      <c r="E17" s="1" t="str">
        <f aca="false">IF(ABS(PnL!E11-(PnL!E4+PnL!E5+PnL!E6+PnL!E10))&lt;1,"PASS","FAIL")</f>
        <v>PASS</v>
      </c>
    </row>
    <row r="18" customFormat="false" ht="15" hidden="false" customHeight="true" outlineLevel="0" collapsed="false">
      <c r="A18" s="1" t="s">
        <v>12</v>
      </c>
      <c r="B18" s="1" t="str">
        <f aca="false">IF(ABS(PnL!B28-(PnL!B25+PnL!B26+PnL!B27))&lt;1,"PASS","FAIL")</f>
        <v>PASS</v>
      </c>
      <c r="C18" s="1" t="str">
        <f aca="false">IF(ABS(PnL!C28-(PnL!C25+PnL!C26+PnL!C27))&lt;1,"PASS","FAIL")</f>
        <v>PASS</v>
      </c>
      <c r="D18" s="1" t="str">
        <f aca="false">IF(ABS(PnL!D28-(PnL!D25+PnL!D26+PnL!D27))&lt;1,"PASS","FAIL")</f>
        <v>PASS</v>
      </c>
      <c r="E18" s="1" t="str">
        <f aca="false">IF(ABS(PnL!E28-(PnL!E25+PnL!E26+PnL!E27))&lt;1,"PASS","FAIL")</f>
        <v>PASS</v>
      </c>
    </row>
    <row r="19" customFormat="false" ht="15" hidden="false" customHeight="true" outlineLevel="0" collapsed="false">
      <c r="A19" s="1" t="s">
        <v>13</v>
      </c>
      <c r="B19" s="1" t="str">
        <f aca="false">IF(ABS(Assumptions!B38-Assumptions!B3)&lt;1,"PASS","FAIL")</f>
        <v>PASS</v>
      </c>
    </row>
    <row r="20" customFormat="false" ht="15" hidden="false" customHeight="true" outlineLevel="0" collapsed="false">
      <c r="A20" s="1" t="s">
        <v>14</v>
      </c>
      <c r="B20" s="1" t="str">
        <f aca="false">IF(ABS(Assumptions!C38-1)&lt;0.0001,"PASS","FAIL")</f>
        <v>PASS</v>
      </c>
    </row>
    <row r="21" customFormat="false" ht="15" hidden="false" customHeight="true" outlineLevel="0" collapsed="false">
      <c r="A21" s="1" t="s">
        <v>15</v>
      </c>
      <c r="B21" s="1" t="str">
        <f aca="false">IF(Assumptions!B5&lt;=Assumptions!B3,"PASS","FAIL")</f>
        <v>PASS</v>
      </c>
    </row>
    <row r="22" customFormat="false" ht="15" hidden="false" customHeight="true" outlineLevel="0" collapsed="false">
      <c r="A22" s="10" t="s">
        <v>16</v>
      </c>
      <c r="B22" s="1" t="str">
        <f aca="false">IF(AND(PnL!C21&lt;=0,PnL!D21&gt;0),"PASS","FAIL")</f>
        <v>PASS</v>
      </c>
    </row>
    <row r="23" customFormat="false" ht="15" hidden="false" customHeight="false" outlineLevel="0" collapsed="false">
      <c r="A23" s="11" t="s">
        <v>17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&amp;C&amp;"Calibri,Bold"&amp;12 Beyond Tomorrow financial model: &amp;A</oddHeader>
    <oddFooter>&amp;LConfidential. Beyond Tomorrow Media Ltd.&amp;RPage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4"/>
    <col collapsed="false" customWidth="true" hidden="false" outlineLevel="0" max="6" min="6" style="1" width="78"/>
  </cols>
  <sheetData>
    <row r="1" customFormat="false" ht="15.75" hidden="false" customHeight="true" outlineLevel="0" collapsed="false">
      <c r="A1" s="12" t="s">
        <v>18</v>
      </c>
    </row>
    <row r="2" customFormat="false" ht="15" hidden="false" customHeight="true" outlineLevel="0" collapsed="false">
      <c r="A2" s="3" t="s">
        <v>19</v>
      </c>
    </row>
    <row r="3" customFormat="false" ht="15" hidden="false" customHeight="true" outlineLevel="0" collapsed="false">
      <c r="A3" s="6" t="s">
        <v>20</v>
      </c>
      <c r="B3" s="13" t="n">
        <v>1500000</v>
      </c>
      <c r="F3" s="10" t="s">
        <v>21</v>
      </c>
    </row>
    <row r="4" customFormat="false" ht="15" hidden="false" customHeight="true" outlineLevel="0" collapsed="false">
      <c r="A4" s="6" t="s">
        <v>22</v>
      </c>
      <c r="B4" s="13" t="n">
        <v>11000000</v>
      </c>
      <c r="F4" s="10" t="s">
        <v>21</v>
      </c>
    </row>
    <row r="5" customFormat="false" ht="15" hidden="false" customHeight="true" outlineLevel="0" collapsed="false">
      <c r="A5" s="6" t="s">
        <v>23</v>
      </c>
      <c r="B5" s="13" t="n">
        <v>660000</v>
      </c>
      <c r="F5" s="10" t="s">
        <v>24</v>
      </c>
    </row>
    <row r="6" customFormat="false" ht="15" hidden="false" customHeight="true" outlineLevel="0" collapsed="false">
      <c r="A6" s="6" t="s">
        <v>25</v>
      </c>
      <c r="B6" s="14" t="n">
        <v>0.2</v>
      </c>
      <c r="F6" s="10" t="s">
        <v>26</v>
      </c>
    </row>
    <row r="7" customFormat="false" ht="15" hidden="false" customHeight="true" outlineLevel="0" collapsed="false">
      <c r="A7" s="6" t="s">
        <v>27</v>
      </c>
      <c r="B7" s="15" t="n">
        <v>0.008</v>
      </c>
      <c r="F7" s="10" t="s">
        <v>28</v>
      </c>
    </row>
    <row r="8" customFormat="false" ht="15" hidden="false" customHeight="true" outlineLevel="0" collapsed="false">
      <c r="A8" s="8" t="s">
        <v>29</v>
      </c>
    </row>
    <row r="9" customFormat="false" ht="15" hidden="false" customHeight="true" outlineLevel="0" collapsed="false">
      <c r="A9" s="4" t="s">
        <v>30</v>
      </c>
      <c r="B9" s="5" t="n">
        <v>2026</v>
      </c>
      <c r="C9" s="5" t="n">
        <v>2027</v>
      </c>
      <c r="D9" s="5" t="n">
        <v>2028</v>
      </c>
      <c r="E9" s="5" t="n">
        <v>2029</v>
      </c>
      <c r="F9" s="9" t="s">
        <v>31</v>
      </c>
    </row>
    <row r="10" customFormat="false" ht="15" hidden="false" customHeight="true" outlineLevel="0" collapsed="false">
      <c r="A10" s="1" t="s">
        <v>32</v>
      </c>
      <c r="B10" s="13" t="n">
        <v>100000</v>
      </c>
      <c r="C10" s="13" t="n">
        <v>520000</v>
      </c>
      <c r="D10" s="13" t="n">
        <v>1304000</v>
      </c>
      <c r="E10" s="13" t="n">
        <v>4000000</v>
      </c>
      <c r="F10" s="10" t="s">
        <v>33</v>
      </c>
    </row>
    <row r="11" customFormat="false" ht="15" hidden="false" customHeight="true" outlineLevel="0" collapsed="false">
      <c r="A11" s="1" t="s">
        <v>34</v>
      </c>
      <c r="B11" s="13" t="n">
        <v>80000</v>
      </c>
      <c r="C11" s="13" t="n">
        <v>460000</v>
      </c>
      <c r="D11" s="13" t="n">
        <v>1000000</v>
      </c>
      <c r="E11" s="13" t="n">
        <v>3200000</v>
      </c>
      <c r="F11" s="10" t="s">
        <v>33</v>
      </c>
    </row>
    <row r="12" customFormat="false" ht="15" hidden="false" customHeight="true" outlineLevel="0" collapsed="false">
      <c r="A12" s="1" t="s">
        <v>35</v>
      </c>
      <c r="B12" s="13" t="n">
        <v>60000</v>
      </c>
      <c r="C12" s="13" t="n">
        <v>350000</v>
      </c>
      <c r="D12" s="13" t="n">
        <v>700000</v>
      </c>
      <c r="E12" s="13" t="n">
        <v>1800000</v>
      </c>
      <c r="F12" s="10" t="s">
        <v>33</v>
      </c>
    </row>
    <row r="13" customFormat="false" ht="15" hidden="false" customHeight="true" outlineLevel="0" collapsed="false">
      <c r="A13" s="1" t="s">
        <v>36</v>
      </c>
      <c r="B13" s="13" t="n">
        <v>40000</v>
      </c>
      <c r="C13" s="13" t="n">
        <v>250000</v>
      </c>
      <c r="D13" s="13" t="n">
        <v>500000</v>
      </c>
      <c r="E13" s="13" t="n">
        <v>1500000</v>
      </c>
      <c r="F13" s="10" t="s">
        <v>37</v>
      </c>
    </row>
    <row r="14" customFormat="false" ht="15" hidden="false" customHeight="true" outlineLevel="0" collapsed="false">
      <c r="A14" s="1" t="s">
        <v>38</v>
      </c>
      <c r="B14" s="13" t="n">
        <v>20000</v>
      </c>
      <c r="C14" s="13" t="n">
        <v>220000</v>
      </c>
      <c r="D14" s="13" t="n">
        <v>400000</v>
      </c>
      <c r="E14" s="13" t="n">
        <v>1080000</v>
      </c>
      <c r="F14" s="10" t="s">
        <v>39</v>
      </c>
    </row>
    <row r="15" customFormat="false" ht="15" hidden="false" customHeight="true" outlineLevel="0" collapsed="false">
      <c r="A15" s="1" t="s">
        <v>40</v>
      </c>
      <c r="B15" s="13" t="n">
        <v>130000</v>
      </c>
      <c r="C15" s="13" t="n">
        <v>500000</v>
      </c>
      <c r="D15" s="13" t="n">
        <v>700000</v>
      </c>
      <c r="E15" s="13" t="n">
        <v>1000000</v>
      </c>
      <c r="F15" s="10" t="s">
        <v>41</v>
      </c>
    </row>
    <row r="16" customFormat="false" ht="15" hidden="false" customHeight="true" outlineLevel="0" collapsed="false">
      <c r="A16" s="1" t="s">
        <v>42</v>
      </c>
      <c r="B16" s="13" t="n">
        <v>0</v>
      </c>
      <c r="C16" s="13" t="n">
        <v>1100000</v>
      </c>
      <c r="D16" s="13" t="n">
        <v>2300000</v>
      </c>
      <c r="E16" s="13" t="n">
        <v>7000000</v>
      </c>
      <c r="F16" s="10" t="s">
        <v>43</v>
      </c>
    </row>
    <row r="17" customFormat="false" ht="15" hidden="false" customHeight="true" outlineLevel="0" collapsed="false">
      <c r="A17" s="1" t="s">
        <v>44</v>
      </c>
      <c r="B17" s="13" t="n">
        <v>0</v>
      </c>
      <c r="C17" s="13" t="n">
        <v>0</v>
      </c>
      <c r="D17" s="13" t="n">
        <v>1000000</v>
      </c>
      <c r="E17" s="13" t="n">
        <v>2700000</v>
      </c>
      <c r="F17" s="10" t="s">
        <v>45</v>
      </c>
    </row>
    <row r="18" customFormat="false" ht="15" hidden="false" customHeight="true" outlineLevel="0" collapsed="false">
      <c r="A18" s="1" t="s">
        <v>46</v>
      </c>
      <c r="B18" s="13" t="n">
        <v>0</v>
      </c>
      <c r="C18" s="13" t="n">
        <v>0</v>
      </c>
      <c r="D18" s="13" t="n">
        <v>12000000</v>
      </c>
      <c r="E18" s="13" t="n">
        <v>40000000</v>
      </c>
      <c r="F18" s="10" t="s">
        <v>47</v>
      </c>
    </row>
    <row r="19" customFormat="false" ht="15" hidden="false" customHeight="true" outlineLevel="0" collapsed="false">
      <c r="A19" s="1" t="s">
        <v>48</v>
      </c>
      <c r="B19" s="13" t="n">
        <v>0</v>
      </c>
      <c r="C19" s="13" t="n">
        <v>0</v>
      </c>
      <c r="D19" s="13" t="n">
        <v>0</v>
      </c>
      <c r="E19" s="13" t="n">
        <v>0</v>
      </c>
      <c r="F19" s="10" t="s">
        <v>49</v>
      </c>
    </row>
    <row r="21" customFormat="false" ht="15" hidden="false" customHeight="true" outlineLevel="0" collapsed="false">
      <c r="A21" s="8" t="s">
        <v>50</v>
      </c>
    </row>
    <row r="22" customFormat="false" ht="15" hidden="false" customHeight="true" outlineLevel="0" collapsed="false">
      <c r="A22" s="4" t="s">
        <v>30</v>
      </c>
      <c r="B22" s="5" t="n">
        <v>2026</v>
      </c>
      <c r="C22" s="5" t="n">
        <v>2027</v>
      </c>
      <c r="D22" s="5" t="n">
        <v>2028</v>
      </c>
      <c r="E22" s="5" t="n">
        <v>2029</v>
      </c>
      <c r="F22" s="9" t="s">
        <v>31</v>
      </c>
    </row>
    <row r="23" customFormat="false" ht="15" hidden="false" customHeight="true" outlineLevel="0" collapsed="false">
      <c r="A23" s="1" t="s">
        <v>51</v>
      </c>
      <c r="B23" s="13" t="n">
        <v>280000</v>
      </c>
      <c r="C23" s="13" t="n">
        <v>1300000</v>
      </c>
      <c r="D23" s="13" t="n">
        <v>2000000</v>
      </c>
      <c r="E23" s="13" t="n">
        <v>4000000</v>
      </c>
      <c r="F23" s="10" t="s">
        <v>52</v>
      </c>
    </row>
    <row r="24" customFormat="false" ht="15" hidden="false" customHeight="true" outlineLevel="0" collapsed="false">
      <c r="A24" s="1" t="s">
        <v>53</v>
      </c>
      <c r="B24" s="13" t="n">
        <v>80000</v>
      </c>
      <c r="C24" s="13" t="n">
        <v>750000</v>
      </c>
      <c r="D24" s="13" t="n">
        <v>1500000</v>
      </c>
      <c r="E24" s="13" t="n">
        <v>3800000</v>
      </c>
      <c r="F24" s="10" t="s">
        <v>54</v>
      </c>
    </row>
    <row r="25" customFormat="false" ht="15" hidden="false" customHeight="true" outlineLevel="0" collapsed="false">
      <c r="A25" s="1" t="s">
        <v>55</v>
      </c>
      <c r="B25" s="13" t="n">
        <v>130000</v>
      </c>
      <c r="C25" s="13" t="n">
        <v>850000</v>
      </c>
      <c r="D25" s="13" t="n">
        <v>1600000</v>
      </c>
      <c r="E25" s="13" t="n">
        <v>2400000</v>
      </c>
      <c r="F25" s="10" t="s">
        <v>56</v>
      </c>
    </row>
    <row r="26" customFormat="false" ht="15" hidden="false" customHeight="true" outlineLevel="0" collapsed="false">
      <c r="A26" s="1" t="s">
        <v>57</v>
      </c>
      <c r="B26" s="13" t="n">
        <v>40000</v>
      </c>
      <c r="C26" s="13" t="n">
        <v>350000</v>
      </c>
      <c r="D26" s="13" t="n">
        <v>400000</v>
      </c>
      <c r="E26" s="13" t="n">
        <v>900000</v>
      </c>
      <c r="F26" s="10" t="s">
        <v>58</v>
      </c>
    </row>
    <row r="27" customFormat="false" ht="15" hidden="false" customHeight="true" outlineLevel="0" collapsed="false">
      <c r="A27" s="1" t="s">
        <v>59</v>
      </c>
      <c r="B27" s="13" t="n">
        <v>0</v>
      </c>
      <c r="C27" s="13" t="n">
        <v>0</v>
      </c>
      <c r="D27" s="13" t="n">
        <v>500000</v>
      </c>
      <c r="E27" s="13" t="n">
        <v>1350000</v>
      </c>
      <c r="F27" s="10" t="s">
        <v>60</v>
      </c>
    </row>
    <row r="28" customFormat="false" ht="15" hidden="false" customHeight="true" outlineLevel="0" collapsed="false">
      <c r="A28" s="1" t="s">
        <v>61</v>
      </c>
      <c r="B28" s="13" t="n">
        <v>0</v>
      </c>
      <c r="C28" s="13" t="n">
        <v>60000</v>
      </c>
      <c r="D28" s="13" t="n">
        <v>120000</v>
      </c>
      <c r="E28" s="13" t="n">
        <v>200000</v>
      </c>
      <c r="F28" s="10" t="s">
        <v>62</v>
      </c>
    </row>
    <row r="29" customFormat="false" ht="15" hidden="false" customHeight="true" outlineLevel="0" collapsed="false">
      <c r="A29" s="1" t="s">
        <v>63</v>
      </c>
      <c r="B29" s="13" t="n">
        <v>30000</v>
      </c>
      <c r="C29" s="13" t="n">
        <v>90000</v>
      </c>
      <c r="D29" s="13" t="n">
        <v>250000</v>
      </c>
      <c r="E29" s="13" t="n">
        <v>500000</v>
      </c>
      <c r="F29" s="10" t="s">
        <v>54</v>
      </c>
    </row>
    <row r="30" customFormat="false" ht="15" hidden="false" customHeight="true" outlineLevel="0" collapsed="false">
      <c r="A30" s="1" t="s">
        <v>64</v>
      </c>
      <c r="B30" s="13" t="n">
        <v>30000</v>
      </c>
      <c r="C30" s="13" t="n">
        <v>60000</v>
      </c>
      <c r="D30" s="13" t="n">
        <v>120000</v>
      </c>
      <c r="E30" s="13" t="n">
        <v>250000</v>
      </c>
      <c r="F30" s="10" t="s">
        <v>54</v>
      </c>
    </row>
    <row r="32" customFormat="false" ht="15" hidden="false" customHeight="true" outlineLevel="0" collapsed="false">
      <c r="A32" s="6" t="s">
        <v>65</v>
      </c>
    </row>
    <row r="33" customFormat="false" ht="15" hidden="false" customHeight="true" outlineLevel="0" collapsed="false">
      <c r="A33" s="9" t="s">
        <v>30</v>
      </c>
      <c r="B33" s="9" t="s">
        <v>66</v>
      </c>
      <c r="C33" s="9" t="s">
        <v>67</v>
      </c>
      <c r="D33" s="9" t="s">
        <v>68</v>
      </c>
    </row>
    <row r="34" customFormat="false" ht="15" hidden="false" customHeight="true" outlineLevel="0" collapsed="false">
      <c r="A34" s="1" t="s">
        <v>69</v>
      </c>
      <c r="B34" s="13" t="n">
        <v>600000</v>
      </c>
      <c r="C34" s="16" t="n">
        <f aca="false">B34/$B$3</f>
        <v>0.4</v>
      </c>
      <c r="D34" s="10" t="s">
        <v>70</v>
      </c>
    </row>
    <row r="35" customFormat="false" ht="15" hidden="false" customHeight="true" outlineLevel="0" collapsed="false">
      <c r="A35" s="1" t="s">
        <v>71</v>
      </c>
      <c r="B35" s="13" t="n">
        <v>525000</v>
      </c>
      <c r="C35" s="16" t="n">
        <f aca="false">B35/$B$3</f>
        <v>0.35</v>
      </c>
      <c r="D35" s="10" t="s">
        <v>72</v>
      </c>
    </row>
    <row r="36" customFormat="false" ht="15" hidden="false" customHeight="true" outlineLevel="0" collapsed="false">
      <c r="A36" s="1" t="s">
        <v>73</v>
      </c>
      <c r="B36" s="13" t="n">
        <v>225000</v>
      </c>
      <c r="C36" s="16" t="n">
        <f aca="false">B36/$B$3</f>
        <v>0.15</v>
      </c>
      <c r="D36" s="10" t="s">
        <v>74</v>
      </c>
    </row>
    <row r="37" customFormat="false" ht="15" hidden="false" customHeight="true" outlineLevel="0" collapsed="false">
      <c r="A37" s="1" t="s">
        <v>75</v>
      </c>
      <c r="B37" s="13" t="n">
        <v>150000</v>
      </c>
      <c r="C37" s="16" t="n">
        <f aca="false">B37/$B$3</f>
        <v>0.1</v>
      </c>
      <c r="D37" s="10" t="s">
        <v>76</v>
      </c>
    </row>
    <row r="38" customFormat="false" ht="15" hidden="false" customHeight="true" outlineLevel="0" collapsed="false">
      <c r="A38" s="17" t="s">
        <v>77</v>
      </c>
      <c r="B38" s="18" t="n">
        <f aca="false">SUM(B34:B37)</f>
        <v>1500000</v>
      </c>
      <c r="C38" s="19" t="n">
        <f aca="false">SUM(C34:C37)</f>
        <v>1</v>
      </c>
    </row>
    <row r="39" customFormat="false" ht="15" hidden="false" customHeight="true" outlineLevel="0" collapsed="false">
      <c r="A39" s="1" t="s">
        <v>78</v>
      </c>
      <c r="B39" s="1" t="str">
        <f aca="false">IF(ABS(B38-$B$3)&lt;1,"PASS","FAIL")</f>
        <v>PASS</v>
      </c>
    </row>
    <row r="41" customFormat="false" ht="15" hidden="false" customHeight="true" outlineLevel="0" collapsed="false">
      <c r="A41" s="6" t="s">
        <v>79</v>
      </c>
    </row>
    <row r="42" customFormat="false" ht="15" hidden="false" customHeight="true" outlineLevel="0" collapsed="false">
      <c r="A42" s="1" t="s">
        <v>80</v>
      </c>
      <c r="B42" s="13" t="n">
        <v>20000</v>
      </c>
      <c r="F42" s="10" t="s">
        <v>81</v>
      </c>
    </row>
    <row r="43" customFormat="false" ht="15" hidden="false" customHeight="true" outlineLevel="0" collapsed="false">
      <c r="A43" s="1" t="s">
        <v>82</v>
      </c>
      <c r="B43" s="7" t="n">
        <f aca="false">B3-B5</f>
        <v>840000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&amp;C&amp;"Calibri,Bold"&amp;12 Beyond Tomorrow financial model: &amp;A</oddHeader>
    <oddFooter>&amp;LConfidential. Beyond Tomorrow Media Ltd.&amp;RPage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3"/>
  </cols>
  <sheetData>
    <row r="1" customFormat="false" ht="15.75" hidden="false" customHeight="true" outlineLevel="0" collapsed="false">
      <c r="A1" s="12" t="s">
        <v>83</v>
      </c>
    </row>
    <row r="3" customFormat="false" ht="15" hidden="false" customHeight="true" outlineLevel="0" collapsed="false">
      <c r="A3" s="4" t="s">
        <v>2</v>
      </c>
      <c r="B3" s="5" t="n">
        <v>2026</v>
      </c>
      <c r="C3" s="5" t="n">
        <v>2027</v>
      </c>
      <c r="D3" s="5" t="n">
        <v>2028</v>
      </c>
      <c r="E3" s="5" t="n">
        <v>2029</v>
      </c>
    </row>
    <row r="4" customFormat="false" ht="15" hidden="false" customHeight="true" outlineLevel="0" collapsed="false">
      <c r="A4" s="1" t="s">
        <v>4</v>
      </c>
      <c r="B4" s="7" t="n">
        <f aca="false">SUM(Assumptions!B10:B14)</f>
        <v>300000</v>
      </c>
      <c r="C4" s="7" t="n">
        <f aca="false">SUM(Assumptions!C10:C14)</f>
        <v>1800000</v>
      </c>
      <c r="D4" s="7" t="n">
        <f aca="false">SUM(Assumptions!D10:D14)</f>
        <v>3904000</v>
      </c>
      <c r="E4" s="7" t="n">
        <f aca="false">SUM(Assumptions!E10:E14)</f>
        <v>11580000</v>
      </c>
    </row>
    <row r="5" customFormat="false" ht="15" hidden="false" customHeight="true" outlineLevel="0" collapsed="false">
      <c r="A5" s="1" t="s">
        <v>84</v>
      </c>
      <c r="B5" s="7" t="n">
        <f aca="false">SUM(Assumptions!B15:B16)</f>
        <v>130000</v>
      </c>
      <c r="C5" s="7" t="n">
        <f aca="false">SUM(Assumptions!C15:C16)</f>
        <v>1600000</v>
      </c>
      <c r="D5" s="7" t="n">
        <f aca="false">SUM(Assumptions!D15:D16)</f>
        <v>3000000</v>
      </c>
      <c r="E5" s="7" t="n">
        <f aca="false">SUM(Assumptions!E15:E16)</f>
        <v>8000000</v>
      </c>
    </row>
    <row r="6" customFormat="false" ht="15" hidden="false" customHeight="true" outlineLevel="0" collapsed="false">
      <c r="A6" s="1" t="s">
        <v>85</v>
      </c>
      <c r="B6" s="7" t="n">
        <f aca="false">Assumptions!B17</f>
        <v>0</v>
      </c>
      <c r="C6" s="7" t="n">
        <f aca="false">Assumptions!C17</f>
        <v>0</v>
      </c>
      <c r="D6" s="7" t="n">
        <f aca="false">Assumptions!D17</f>
        <v>1000000</v>
      </c>
      <c r="E6" s="7" t="n">
        <f aca="false">Assumptions!E17</f>
        <v>2700000</v>
      </c>
    </row>
    <row r="7" customFormat="false" ht="15" hidden="false" customHeight="true" outlineLevel="0" collapsed="false">
      <c r="A7" s="20" t="s">
        <v>86</v>
      </c>
      <c r="B7" s="21" t="n">
        <f aca="false">B4+B5+B6</f>
        <v>430000</v>
      </c>
      <c r="C7" s="21" t="n">
        <f aca="false">C4+C5+C6</f>
        <v>3400000</v>
      </c>
      <c r="D7" s="21" t="n">
        <f aca="false">D4+D5+D6</f>
        <v>7904000</v>
      </c>
      <c r="E7" s="21" t="n">
        <f aca="false">E4+E5+E6</f>
        <v>22280000</v>
      </c>
    </row>
    <row r="8" customFormat="false" ht="15" hidden="false" customHeight="true" outlineLevel="0" collapsed="false">
      <c r="A8" s="1" t="str">
        <f aca="false">"Investment: fees ("&amp;TEXT(Assumptions!$B$7,"0.0%")&amp;" of AUM)"</f>
        <v>Investment: fees (0.8% of AUM)</v>
      </c>
      <c r="B8" s="7" t="n">
        <f aca="false">Assumptions!B18*Assumptions!$B$7</f>
        <v>0</v>
      </c>
      <c r="C8" s="7" t="n">
        <f aca="false">Assumptions!C18*Assumptions!$B$7</f>
        <v>0</v>
      </c>
      <c r="D8" s="7" t="n">
        <f aca="false">Assumptions!D18*Assumptions!$B$7</f>
        <v>96000</v>
      </c>
      <c r="E8" s="7" t="n">
        <f aca="false">Assumptions!E18*Assumptions!$B$7</f>
        <v>320000</v>
      </c>
    </row>
    <row r="9" customFormat="false" ht="15" hidden="false" customHeight="true" outlineLevel="0" collapsed="false">
      <c r="A9" s="1" t="s">
        <v>87</v>
      </c>
      <c r="B9" s="7" t="n">
        <f aca="false">Assumptions!B19</f>
        <v>0</v>
      </c>
      <c r="C9" s="7" t="n">
        <f aca="false">Assumptions!C19</f>
        <v>0</v>
      </c>
      <c r="D9" s="7" t="n">
        <f aca="false">Assumptions!D19</f>
        <v>0</v>
      </c>
      <c r="E9" s="7" t="n">
        <f aca="false">Assumptions!E19</f>
        <v>0</v>
      </c>
    </row>
    <row r="10" customFormat="false" ht="15" hidden="false" customHeight="true" outlineLevel="0" collapsed="false">
      <c r="A10" s="20" t="s">
        <v>88</v>
      </c>
      <c r="B10" s="21" t="n">
        <f aca="false">B8+B9</f>
        <v>0</v>
      </c>
      <c r="C10" s="21" t="n">
        <f aca="false">C8+C9</f>
        <v>0</v>
      </c>
      <c r="D10" s="21" t="n">
        <f aca="false">D8+D9</f>
        <v>96000</v>
      </c>
      <c r="E10" s="21" t="n">
        <f aca="false">E8+E9</f>
        <v>320000</v>
      </c>
    </row>
    <row r="11" customFormat="false" ht="15" hidden="false" customHeight="true" outlineLevel="0" collapsed="false">
      <c r="A11" s="9" t="s">
        <v>3</v>
      </c>
      <c r="B11" s="22" t="n">
        <f aca="false">B7+B10</f>
        <v>430000</v>
      </c>
      <c r="C11" s="22" t="n">
        <f aca="false">C7+C10</f>
        <v>3400000</v>
      </c>
      <c r="D11" s="22" t="n">
        <f aca="false">D7+D10</f>
        <v>8000000</v>
      </c>
      <c r="E11" s="22" t="n">
        <f aca="false">E7+E10</f>
        <v>22600000</v>
      </c>
    </row>
    <row r="12" customFormat="false" ht="15" hidden="false" customHeight="true" outlineLevel="0" collapsed="false">
      <c r="A12" s="1" t="s">
        <v>51</v>
      </c>
      <c r="B12" s="7" t="n">
        <f aca="false">Assumptions!B23</f>
        <v>280000</v>
      </c>
      <c r="C12" s="7" t="n">
        <f aca="false">Assumptions!C23</f>
        <v>1300000</v>
      </c>
      <c r="D12" s="7" t="n">
        <f aca="false">Assumptions!D23</f>
        <v>2000000</v>
      </c>
      <c r="E12" s="7" t="n">
        <f aca="false">Assumptions!E23</f>
        <v>4000000</v>
      </c>
    </row>
    <row r="13" customFormat="false" ht="15" hidden="false" customHeight="true" outlineLevel="0" collapsed="false">
      <c r="A13" s="1" t="s">
        <v>53</v>
      </c>
      <c r="B13" s="7" t="n">
        <f aca="false">Assumptions!B24</f>
        <v>80000</v>
      </c>
      <c r="C13" s="7" t="n">
        <f aca="false">Assumptions!C24</f>
        <v>750000</v>
      </c>
      <c r="D13" s="7" t="n">
        <f aca="false">Assumptions!D24</f>
        <v>1500000</v>
      </c>
      <c r="E13" s="7" t="n">
        <f aca="false">Assumptions!E24</f>
        <v>3800000</v>
      </c>
    </row>
    <row r="14" customFormat="false" ht="15" hidden="false" customHeight="true" outlineLevel="0" collapsed="false">
      <c r="A14" s="1" t="s">
        <v>55</v>
      </c>
      <c r="B14" s="7" t="n">
        <f aca="false">Assumptions!B25</f>
        <v>130000</v>
      </c>
      <c r="C14" s="7" t="n">
        <f aca="false">Assumptions!C25</f>
        <v>850000</v>
      </c>
      <c r="D14" s="7" t="n">
        <f aca="false">Assumptions!D25</f>
        <v>1600000</v>
      </c>
      <c r="E14" s="7" t="n">
        <f aca="false">Assumptions!E25</f>
        <v>2400000</v>
      </c>
    </row>
    <row r="15" customFormat="false" ht="15" hidden="false" customHeight="true" outlineLevel="0" collapsed="false">
      <c r="A15" s="1" t="s">
        <v>57</v>
      </c>
      <c r="B15" s="7" t="n">
        <f aca="false">Assumptions!B26</f>
        <v>40000</v>
      </c>
      <c r="C15" s="7" t="n">
        <f aca="false">Assumptions!C26</f>
        <v>350000</v>
      </c>
      <c r="D15" s="7" t="n">
        <f aca="false">Assumptions!D26</f>
        <v>400000</v>
      </c>
      <c r="E15" s="7" t="n">
        <f aca="false">Assumptions!E26</f>
        <v>900000</v>
      </c>
    </row>
    <row r="16" customFormat="false" ht="15" hidden="false" customHeight="true" outlineLevel="0" collapsed="false">
      <c r="A16" s="1" t="s">
        <v>59</v>
      </c>
      <c r="B16" s="7" t="n">
        <f aca="false">Assumptions!B27</f>
        <v>0</v>
      </c>
      <c r="C16" s="7" t="n">
        <f aca="false">Assumptions!C27</f>
        <v>0</v>
      </c>
      <c r="D16" s="7" t="n">
        <f aca="false">Assumptions!D27</f>
        <v>500000</v>
      </c>
      <c r="E16" s="7" t="n">
        <f aca="false">Assumptions!E27</f>
        <v>1350000</v>
      </c>
    </row>
    <row r="17" customFormat="false" ht="15" hidden="false" customHeight="true" outlineLevel="0" collapsed="false">
      <c r="A17" s="1" t="s">
        <v>61</v>
      </c>
      <c r="B17" s="7" t="n">
        <f aca="false">Assumptions!B28</f>
        <v>0</v>
      </c>
      <c r="C17" s="7" t="n">
        <f aca="false">Assumptions!C28</f>
        <v>60000</v>
      </c>
      <c r="D17" s="7" t="n">
        <f aca="false">Assumptions!D28</f>
        <v>120000</v>
      </c>
      <c r="E17" s="7" t="n">
        <f aca="false">Assumptions!E28</f>
        <v>200000</v>
      </c>
    </row>
    <row r="18" customFormat="false" ht="15" hidden="false" customHeight="true" outlineLevel="0" collapsed="false">
      <c r="A18" s="1" t="s">
        <v>63</v>
      </c>
      <c r="B18" s="7" t="n">
        <f aca="false">Assumptions!B29</f>
        <v>30000</v>
      </c>
      <c r="C18" s="7" t="n">
        <f aca="false">Assumptions!C29</f>
        <v>90000</v>
      </c>
      <c r="D18" s="7" t="n">
        <f aca="false">Assumptions!D29</f>
        <v>250000</v>
      </c>
      <c r="E18" s="7" t="n">
        <f aca="false">Assumptions!E29</f>
        <v>500000</v>
      </c>
    </row>
    <row r="19" customFormat="false" ht="15" hidden="false" customHeight="true" outlineLevel="0" collapsed="false">
      <c r="A19" s="1" t="s">
        <v>64</v>
      </c>
      <c r="B19" s="7" t="n">
        <f aca="false">Assumptions!B30</f>
        <v>30000</v>
      </c>
      <c r="C19" s="7" t="n">
        <f aca="false">Assumptions!C30</f>
        <v>60000</v>
      </c>
      <c r="D19" s="7" t="n">
        <f aca="false">Assumptions!D30</f>
        <v>120000</v>
      </c>
      <c r="E19" s="7" t="n">
        <f aca="false">Assumptions!E30</f>
        <v>250000</v>
      </c>
    </row>
    <row r="20" customFormat="false" ht="15" hidden="false" customHeight="true" outlineLevel="0" collapsed="false">
      <c r="A20" s="20" t="s">
        <v>89</v>
      </c>
      <c r="B20" s="21" t="n">
        <f aca="false">SUM(B12:B19)</f>
        <v>590000</v>
      </c>
      <c r="C20" s="21" t="n">
        <f aca="false">SUM(C12:C19)</f>
        <v>3460000</v>
      </c>
      <c r="D20" s="21" t="n">
        <f aca="false">SUM(D12:D19)</f>
        <v>6490000</v>
      </c>
      <c r="E20" s="21" t="n">
        <f aca="false">SUM(E12:E19)</f>
        <v>13400000</v>
      </c>
    </row>
    <row r="21" customFormat="false" ht="15" hidden="false" customHeight="true" outlineLevel="0" collapsed="false">
      <c r="A21" s="20" t="s">
        <v>5</v>
      </c>
      <c r="B21" s="21" t="n">
        <f aca="false">B11-B20</f>
        <v>-160000</v>
      </c>
      <c r="C21" s="21" t="n">
        <f aca="false">C11-C20</f>
        <v>-60000</v>
      </c>
      <c r="D21" s="21" t="n">
        <f aca="false">D11-D20</f>
        <v>1510000</v>
      </c>
      <c r="E21" s="21" t="n">
        <f aca="false">E11-E20</f>
        <v>9200000</v>
      </c>
    </row>
    <row r="22" customFormat="false" ht="15" hidden="false" customHeight="true" outlineLevel="0" collapsed="false">
      <c r="A22" s="1" t="s">
        <v>90</v>
      </c>
      <c r="B22" s="23" t="n">
        <f aca="false">IFERROR(B21/B11,0)</f>
        <v>-0.372093023255814</v>
      </c>
      <c r="C22" s="23" t="n">
        <f aca="false">IFERROR(C21/C11,0)</f>
        <v>-0.0176470588235294</v>
      </c>
      <c r="D22" s="23" t="n">
        <f aca="false">IFERROR(D21/D11,0)</f>
        <v>0.18875</v>
      </c>
      <c r="E22" s="23" t="n">
        <f aca="false">IFERROR(E21/E11,0)</f>
        <v>0.407079646017699</v>
      </c>
    </row>
    <row r="23" customFormat="false" ht="15" hidden="false" customHeight="true" outlineLevel="0" collapsed="false">
      <c r="A23" s="1" t="s">
        <v>91</v>
      </c>
      <c r="B23" s="7" t="n">
        <f aca="false">-MAX(0,B21)*Assumptions!$B$6</f>
        <v>-0</v>
      </c>
      <c r="C23" s="7" t="n">
        <f aca="false">-MAX(0,C21)*Assumptions!$B$6</f>
        <v>-0</v>
      </c>
      <c r="D23" s="7" t="n">
        <f aca="false">-MAX(0,D21)*Assumptions!$B$6</f>
        <v>-302000</v>
      </c>
      <c r="E23" s="7" t="n">
        <f aca="false">-MAX(0,E21)*Assumptions!$B$6</f>
        <v>-1840000</v>
      </c>
    </row>
    <row r="24" customFormat="false" ht="15" hidden="false" customHeight="true" outlineLevel="0" collapsed="false">
      <c r="A24" s="24" t="s">
        <v>92</v>
      </c>
      <c r="B24" s="25" t="n">
        <f aca="false">B21+B23</f>
        <v>-160000</v>
      </c>
      <c r="C24" s="25" t="n">
        <f aca="false">C21+C23</f>
        <v>-60000</v>
      </c>
      <c r="D24" s="25" t="n">
        <f aca="false">D21+D23</f>
        <v>1208000</v>
      </c>
      <c r="E24" s="25" t="n">
        <f aca="false">E21+E23</f>
        <v>7360000</v>
      </c>
    </row>
    <row r="25" customFormat="false" ht="15" hidden="false" customHeight="true" outlineLevel="0" collapsed="false">
      <c r="A25" s="1" t="s">
        <v>93</v>
      </c>
      <c r="B25" s="7" t="n">
        <v>0</v>
      </c>
      <c r="C25" s="7" t="n">
        <f aca="false">B28</f>
        <v>1340000</v>
      </c>
      <c r="D25" s="7" t="n">
        <f aca="false">C28</f>
        <v>1280000</v>
      </c>
      <c r="E25" s="7" t="n">
        <f aca="false">D28</f>
        <v>2488000</v>
      </c>
    </row>
    <row r="26" customFormat="false" ht="15" hidden="false" customHeight="true" outlineLevel="0" collapsed="false">
      <c r="A26" s="1" t="s">
        <v>94</v>
      </c>
      <c r="B26" s="7" t="n">
        <f aca="false">Assumptions!$B$3</f>
        <v>1500000</v>
      </c>
      <c r="C26" s="7" t="n">
        <v>0</v>
      </c>
      <c r="D26" s="7" t="n">
        <v>0</v>
      </c>
      <c r="E26" s="7" t="n">
        <v>0</v>
      </c>
    </row>
    <row r="27" customFormat="false" ht="15" hidden="false" customHeight="true" outlineLevel="0" collapsed="false">
      <c r="A27" s="1" t="s">
        <v>95</v>
      </c>
      <c r="B27" s="7" t="n">
        <f aca="false">B24</f>
        <v>-160000</v>
      </c>
      <c r="C27" s="7" t="n">
        <f aca="false">C24</f>
        <v>-60000</v>
      </c>
      <c r="D27" s="7" t="n">
        <f aca="false">D24</f>
        <v>1208000</v>
      </c>
      <c r="E27" s="7" t="n">
        <f aca="false">E24</f>
        <v>7360000</v>
      </c>
    </row>
    <row r="28" customFormat="false" ht="15" hidden="false" customHeight="true" outlineLevel="0" collapsed="false">
      <c r="A28" s="20" t="s">
        <v>7</v>
      </c>
      <c r="B28" s="21" t="n">
        <f aca="false">B25+B26+B27</f>
        <v>1340000</v>
      </c>
      <c r="C28" s="21" t="n">
        <f aca="false">C25+C26+C27</f>
        <v>1280000</v>
      </c>
      <c r="D28" s="21" t="n">
        <f aca="false">D25+D26+D27</f>
        <v>2488000</v>
      </c>
      <c r="E28" s="21" t="n">
        <f aca="false">E25+E26+E27</f>
        <v>9848000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&amp;C&amp;"Calibri,Bold"&amp;12 Beyond Tomorrow financial model: &amp;A</oddHeader>
    <oddFooter>&amp;LConfidential. Beyond Tomorrow Media Ltd.&amp;RPage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2026-07-10T14:52:35Z</dcterms:created>
  <dc:creator>Beyond Tomorrow Media Ltd</dc:creator>
  <dc:description/>
  <dc:language>en-US</dc:language>
  <cp:lastModifiedBy>Beyond Tomorrow Media Ltd</cp:lastModifiedBy>
  <dcterms:modified xsi:type="dcterms:W3CDTF">2026-09-17T15:50:29Z</dcterms:modified>
  <cp:revision>0</cp:revision>
  <dc:subject>Seed round financial model, aligned to the September 2026 deck</dc:subject>
  <dc:title>Beyond Tomorrow financial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